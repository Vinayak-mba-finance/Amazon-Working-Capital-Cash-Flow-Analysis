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ghe\OneDrive\Desktop\gitHub - projects\Financial Analyst\"/>
    </mc:Choice>
  </mc:AlternateContent>
  <xr:revisionPtr revIDLastSave="0" documentId="8_{9FD2C0F5-A8DF-4CB0-840F-84F19B64E74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ssumptions_Inputs" sheetId="1" r:id="rId1"/>
    <sheet name="Working_Capital" sheetId="2" r:id="rId2"/>
    <sheet name="Cash_Flow" sheetId="3" r:id="rId3"/>
    <sheet name="Dashboard" sheetId="4" r:id="rId4"/>
  </sheets>
  <calcPr calcId="124519"/>
</workbook>
</file>

<file path=xl/sharedStrings.xml><?xml version="1.0" encoding="utf-8"?>
<sst xmlns="http://schemas.openxmlformats.org/spreadsheetml/2006/main" count="52" uniqueCount="22">
  <si>
    <t>Month</t>
  </si>
  <si>
    <t>Sales</t>
  </si>
  <si>
    <t>COGS</t>
  </si>
  <si>
    <t>Operating_Expenses</t>
  </si>
  <si>
    <t>Capex</t>
  </si>
  <si>
    <t>Accounts_Receivable</t>
  </si>
  <si>
    <t>Inventory</t>
  </si>
  <si>
    <t>Accounts_Payable</t>
  </si>
  <si>
    <t>Net_Working_Capital</t>
  </si>
  <si>
    <t>Cash_Begin</t>
  </si>
  <si>
    <t>Cash_Collections</t>
  </si>
  <si>
    <t>Cash_Payments_Inventory</t>
  </si>
  <si>
    <t>Cash_From_Operations</t>
  </si>
  <si>
    <t>Free_Cash_Flow</t>
  </si>
  <si>
    <t>Cash_End</t>
  </si>
  <si>
    <t>Amazon Working Capital &amp; Cash Flow Dashboard</t>
  </si>
  <si>
    <t>Key Metrics (FY 2024)</t>
  </si>
  <si>
    <t>Metric</t>
  </si>
  <si>
    <t>Value</t>
  </si>
  <si>
    <t>Total Revenue</t>
  </si>
  <si>
    <t>Average Net Working Capital</t>
  </si>
  <si>
    <t>Total Free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</si>
</sst>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4" fillId="2" borderId="1" xfId="0" applyFont="1" applyFill="1" applyBorder="1" applyAlignment="1"/>
    <xf numFmtId="0" fontId="0" fillId="0" borderId="1" xfId="0" applyBorder="1" applyAlignment="1"/>
    <xf numFmtId="3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 Working Capital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Net Working Capital</c:v>
          </c:tx>
          <c:marker>
            <c:symbol val="none"/>
          </c:marker>
          <c:cat>
            <c:numRef>
              <c:f>Working_Capital!$A$2:$A$13</c:f>
              <c:numCache>
                <c:formatCode>yyyy\-mm</c:formatCode>
                <c:ptCount val="12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</c:numCache>
            </c:numRef>
          </c:cat>
          <c:val>
            <c:numRef>
              <c:f>Working_Capital!$I$2:$I$13</c:f>
              <c:numCache>
                <c:formatCode>General</c:formatCode>
                <c:ptCount val="12"/>
                <c:pt idx="0">
                  <c:v>74667</c:v>
                </c:pt>
                <c:pt idx="1">
                  <c:v>115520</c:v>
                </c:pt>
                <c:pt idx="2">
                  <c:v>87528</c:v>
                </c:pt>
                <c:pt idx="3">
                  <c:v>86349</c:v>
                </c:pt>
                <c:pt idx="4">
                  <c:v>96932</c:v>
                </c:pt>
                <c:pt idx="5">
                  <c:v>112555</c:v>
                </c:pt>
                <c:pt idx="6">
                  <c:v>95857</c:v>
                </c:pt>
                <c:pt idx="7">
                  <c:v>81762</c:v>
                </c:pt>
                <c:pt idx="8">
                  <c:v>76937</c:v>
                </c:pt>
                <c:pt idx="9">
                  <c:v>134592</c:v>
                </c:pt>
                <c:pt idx="10">
                  <c:v>90012</c:v>
                </c:pt>
                <c:pt idx="11">
                  <c:v>80626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E4-44DF-A908-85CC1CEB1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yyyy\-mm" sourceLinked="1"/>
        <c:majorTickMark val="out"/>
        <c:minorTickMark val="none"/>
        <c:tickLblPos val="nextTo"/>
        <c:crossAx val="50010002"/>
        <c:crosses val="autoZero"/>
        <c:auto val="1"/>
        <c:lblOffset val="100"/>
        <c:baseTimeUnit val="months"/>
      </c:date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vs Free Cash Flow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0"/>
          <c:cat>
            <c:numRef>
              <c:f>Working_Capital!$A$2:$A$13</c:f>
              <c:numCache>
                <c:formatCode>yyyy\-mm</c:formatCode>
                <c:ptCount val="12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</c:numCache>
            </c:numRef>
          </c:cat>
          <c:val>
            <c:numRef>
              <c:f>Working_Capital!$B$2:$B$13</c:f>
              <c:numCache>
                <c:formatCode>General</c:formatCode>
                <c:ptCount val="12"/>
                <c:pt idx="0">
                  <c:v>921958</c:v>
                </c:pt>
                <c:pt idx="1">
                  <c:v>1471155</c:v>
                </c:pt>
                <c:pt idx="2">
                  <c:v>931932</c:v>
                </c:pt>
                <c:pt idx="3">
                  <c:v>1165838</c:v>
                </c:pt>
                <c:pt idx="4">
                  <c:v>1059178</c:v>
                </c:pt>
                <c:pt idx="5">
                  <c:v>1444167</c:v>
                </c:pt>
                <c:pt idx="6">
                  <c:v>910268</c:v>
                </c:pt>
                <c:pt idx="7">
                  <c:v>854886</c:v>
                </c:pt>
                <c:pt idx="8">
                  <c:v>937337</c:v>
                </c:pt>
                <c:pt idx="9">
                  <c:v>1321430</c:v>
                </c:pt>
                <c:pt idx="10">
                  <c:v>887498</c:v>
                </c:pt>
                <c:pt idx="11">
                  <c:v>975203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4-423C-B607-C0E95B619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barChart>
        <c:barDir val="col"/>
        <c:grouping val="clustered"/>
        <c:varyColors val="0"/>
        <c:ser>
          <c:idx val="1"/>
          <c:order val="1"/>
          <c:tx>
            <c:v>Free Cash Flow</c:v>
          </c:tx>
          <c:invertIfNegative val="0"/>
          <c:cat>
            <c:numRef>
              <c:f>Cash_Flow!$A$2:$A$13</c:f>
              <c:numCache>
                <c:formatCode>yyyy\-mm</c:formatCode>
                <c:ptCount val="12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</c:numCache>
            </c:numRef>
          </c:cat>
          <c:val>
            <c:numRef>
              <c:f>Cash_Flow!$N$2:$N$13</c:f>
              <c:numCache>
                <c:formatCode>General</c:formatCode>
                <c:ptCount val="12"/>
                <c:pt idx="0">
                  <c:v>-24951</c:v>
                </c:pt>
                <c:pt idx="1">
                  <c:v>82056</c:v>
                </c:pt>
                <c:pt idx="2">
                  <c:v>-38027</c:v>
                </c:pt>
                <c:pt idx="3">
                  <c:v>-67594</c:v>
                </c:pt>
                <c:pt idx="4">
                  <c:v>-87083</c:v>
                </c:pt>
                <c:pt idx="5">
                  <c:v>98742</c:v>
                </c:pt>
                <c:pt idx="6">
                  <c:v>-143567</c:v>
                </c:pt>
                <c:pt idx="7">
                  <c:v>-124977</c:v>
                </c:pt>
                <c:pt idx="8">
                  <c:v>-149033</c:v>
                </c:pt>
                <c:pt idx="9">
                  <c:v>132924</c:v>
                </c:pt>
                <c:pt idx="10">
                  <c:v>-230366</c:v>
                </c:pt>
                <c:pt idx="11">
                  <c:v>-164887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A4-423C-B607-C0E95B619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3"/>
        <c:axId val="50020004"/>
      </c:barChart>
      <c:date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yyyy\-mm" sourceLinked="1"/>
        <c:majorTickMark val="out"/>
        <c:minorTickMark val="none"/>
        <c:tickLblPos val="nextTo"/>
        <c:crossAx val="50020002"/>
        <c:crosses val="autoZero"/>
        <c:auto val="1"/>
        <c:lblOffset val="100"/>
        <c:baseTimeUnit val="months"/>
      </c:date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  <c:valAx>
        <c:axId val="5002000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Free Cash Flow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3"/>
        <c:crosses val="max"/>
        <c:crossBetween val="between"/>
      </c:valAx>
      <c:dateAx>
        <c:axId val="50020003"/>
        <c:scaling>
          <c:orientation val="minMax"/>
        </c:scaling>
        <c:delete val="1"/>
        <c:axPos val="b"/>
        <c:numFmt formatCode="yyyy\-mm" sourceLinked="1"/>
        <c:majorTickMark val="out"/>
        <c:minorTickMark val="none"/>
        <c:tickLblPos val="none"/>
        <c:crossAx val="50020004"/>
        <c:crosses val="autoZero"/>
        <c:auto val="1"/>
        <c:lblOffset val="100"/>
        <c:baseTimeUnit val="month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Working Capital Components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Accounts Receivable</c:v>
          </c:tx>
          <c:invertIfNegative val="0"/>
          <c:cat>
            <c:numRef>
              <c:f>Working_Capital!$A$2:$A$13</c:f>
              <c:numCache>
                <c:formatCode>yyyy\-mm</c:formatCode>
                <c:ptCount val="12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</c:numCache>
            </c:numRef>
          </c:cat>
          <c:val>
            <c:numRef>
              <c:f>Working_Capital!$F$2:$F$13</c:f>
              <c:numCache>
                <c:formatCode>General</c:formatCode>
                <c:ptCount val="12"/>
                <c:pt idx="0">
                  <c:v>55314</c:v>
                </c:pt>
                <c:pt idx="1">
                  <c:v>75274</c:v>
                </c:pt>
                <c:pt idx="2">
                  <c:v>69283</c:v>
                </c:pt>
                <c:pt idx="3">
                  <c:v>65076</c:v>
                </c:pt>
                <c:pt idx="4">
                  <c:v>55358</c:v>
                </c:pt>
                <c:pt idx="5">
                  <c:v>94534</c:v>
                </c:pt>
                <c:pt idx="6">
                  <c:v>54216</c:v>
                </c:pt>
                <c:pt idx="7">
                  <c:v>63758</c:v>
                </c:pt>
                <c:pt idx="8">
                  <c:v>57804</c:v>
                </c:pt>
                <c:pt idx="9">
                  <c:v>94480</c:v>
                </c:pt>
                <c:pt idx="10">
                  <c:v>59469</c:v>
                </c:pt>
                <c:pt idx="11">
                  <c:v>59743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A-43D4-8CCD-06C925E1EEFE}"/>
            </c:ext>
          </c:extLst>
        </c:ser>
        <c:ser>
          <c:idx val="1"/>
          <c:order val="1"/>
          <c:tx>
            <c:v>Inventory</c:v>
          </c:tx>
          <c:invertIfNegative val="0"/>
          <c:cat>
            <c:numRef>
              <c:f>Working_Capital!$A$2:$A$13</c:f>
              <c:numCache>
                <c:formatCode>yyyy\-mm</c:formatCode>
                <c:ptCount val="12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</c:numCache>
            </c:numRef>
          </c:cat>
          <c:val>
            <c:numRef>
              <c:f>Working_Capital!$G$2:$G$13</c:f>
              <c:numCache>
                <c:formatCode>General</c:formatCode>
                <c:ptCount val="12"/>
                <c:pt idx="0">
                  <c:v>43415</c:v>
                </c:pt>
                <c:pt idx="1">
                  <c:v>107184</c:v>
                </c:pt>
                <c:pt idx="2">
                  <c:v>49857</c:v>
                </c:pt>
                <c:pt idx="3">
                  <c:v>63636</c:v>
                </c:pt>
                <c:pt idx="4">
                  <c:v>74579</c:v>
                </c:pt>
                <c:pt idx="5">
                  <c:v>59134</c:v>
                </c:pt>
                <c:pt idx="6">
                  <c:v>74149</c:v>
                </c:pt>
                <c:pt idx="7">
                  <c:v>52789</c:v>
                </c:pt>
                <c:pt idx="8">
                  <c:v>56037</c:v>
                </c:pt>
                <c:pt idx="9">
                  <c:v>89750</c:v>
                </c:pt>
                <c:pt idx="10">
                  <c:v>55179</c:v>
                </c:pt>
                <c:pt idx="11">
                  <c:v>54932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A-43D4-8CCD-06C925E1EEFE}"/>
            </c:ext>
          </c:extLst>
        </c:ser>
        <c:ser>
          <c:idx val="2"/>
          <c:order val="2"/>
          <c:tx>
            <c:v>Accounts Payable</c:v>
          </c:tx>
          <c:invertIfNegative val="0"/>
          <c:cat>
            <c:numRef>
              <c:f>Working_Capital!$A$2:$A$13</c:f>
              <c:numCache>
                <c:formatCode>yyyy\-mm</c:formatCode>
                <c:ptCount val="12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</c:numCache>
            </c:numRef>
          </c:cat>
          <c:val>
            <c:numRef>
              <c:f>Working_Capital!$H$2:$H$13</c:f>
              <c:numCache>
                <c:formatCode>General</c:formatCode>
                <c:ptCount val="12"/>
                <c:pt idx="0">
                  <c:v>24062</c:v>
                </c:pt>
                <c:pt idx="1">
                  <c:v>66938</c:v>
                </c:pt>
                <c:pt idx="2">
                  <c:v>31612</c:v>
                </c:pt>
                <c:pt idx="3">
                  <c:v>42363</c:v>
                </c:pt>
                <c:pt idx="4">
                  <c:v>33005</c:v>
                </c:pt>
                <c:pt idx="5">
                  <c:v>41113</c:v>
                </c:pt>
                <c:pt idx="6">
                  <c:v>32508</c:v>
                </c:pt>
                <c:pt idx="7">
                  <c:v>34785</c:v>
                </c:pt>
                <c:pt idx="8">
                  <c:v>36904</c:v>
                </c:pt>
                <c:pt idx="9">
                  <c:v>49638</c:v>
                </c:pt>
                <c:pt idx="10">
                  <c:v>24636</c:v>
                </c:pt>
                <c:pt idx="11">
                  <c:v>34049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A-43D4-8CCD-06C925E1E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date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yyyy\-mm" sourceLinked="1"/>
        <c:majorTickMark val="out"/>
        <c:minorTickMark val="none"/>
        <c:tickLblPos val="nextTo"/>
        <c:crossAx val="50030002"/>
        <c:crosses val="autoZero"/>
        <c:auto val="1"/>
        <c:lblOffset val="100"/>
        <c:baseTimeUnit val="months"/>
      </c:date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0</xdr:colOff>
      <xdr:row>22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</xdr:row>
      <xdr:rowOff>15240</xdr:rowOff>
    </xdr:from>
    <xdr:to>
      <xdr:col>27</xdr:col>
      <xdr:colOff>0</xdr:colOff>
      <xdr:row>22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7620</xdr:colOff>
      <xdr:row>22</xdr:row>
      <xdr:rowOff>38100</xdr:rowOff>
    </xdr:from>
    <xdr:to>
      <xdr:col>15</xdr:col>
      <xdr:colOff>7620</xdr:colOff>
      <xdr:row>42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workbookViewId="0">
      <selection activeCell="D6" sqref="D6"/>
    </sheetView>
  </sheetViews>
  <sheetFormatPr defaultRowHeight="14.4" x14ac:dyDescent="0.3"/>
  <cols>
    <col min="1" max="1" width="7.6640625" style="3" bestFit="1" customWidth="1"/>
    <col min="2" max="3" width="8" style="3" bestFit="1" customWidth="1"/>
    <col min="4" max="4" width="18.21875" style="3" bestFit="1" customWidth="1"/>
    <col min="5" max="5" width="7" style="3" bestFit="1" customWidth="1"/>
    <col min="6" max="6" width="19" style="3" bestFit="1" customWidth="1"/>
    <col min="7" max="7" width="9.21875" style="3" bestFit="1" customWidth="1"/>
    <col min="8" max="8" width="16.5546875" style="3" bestFit="1" customWidth="1"/>
    <col min="9" max="9" width="19.109375" style="3" bestFit="1" customWidth="1"/>
    <col min="10" max="10" width="10.6640625" style="3" bestFit="1" customWidth="1"/>
    <col min="11" max="11" width="15.21875" style="3" bestFit="1" customWidth="1"/>
    <col min="12" max="12" width="23.88671875" style="3" bestFit="1" customWidth="1"/>
    <col min="13" max="13" width="20.77734375" style="3" bestFit="1" customWidth="1"/>
    <col min="14" max="14" width="14.5546875" style="3" bestFit="1" customWidth="1"/>
    <col min="15" max="15" width="9.21875" style="3" bestFit="1" customWidth="1"/>
    <col min="16" max="16384" width="8.88671875" style="3"/>
  </cols>
  <sheetData>
    <row r="1" spans="1:1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3">
      <c r="A2" s="4">
        <v>45322</v>
      </c>
      <c r="B2" s="5">
        <v>921958</v>
      </c>
      <c r="C2" s="5">
        <v>572932</v>
      </c>
      <c r="D2" s="5">
        <v>190397</v>
      </c>
      <c r="E2" s="5">
        <v>58571</v>
      </c>
      <c r="F2" s="5">
        <v>55314</v>
      </c>
      <c r="G2" s="5">
        <v>43415</v>
      </c>
      <c r="H2" s="5">
        <v>24062</v>
      </c>
      <c r="I2" s="5">
        <v>74667</v>
      </c>
      <c r="J2" s="5">
        <v>500000</v>
      </c>
      <c r="K2" s="5">
        <v>700700</v>
      </c>
      <c r="L2" s="5">
        <v>476683</v>
      </c>
      <c r="M2" s="5">
        <v>33620</v>
      </c>
      <c r="N2" s="5">
        <v>-24951</v>
      </c>
      <c r="O2" s="5">
        <v>475049</v>
      </c>
    </row>
    <row r="3" spans="1:15" x14ac:dyDescent="0.3">
      <c r="A3" s="4">
        <v>45351</v>
      </c>
      <c r="B3" s="5">
        <v>1471155</v>
      </c>
      <c r="C3" s="5">
        <v>1026326</v>
      </c>
      <c r="D3" s="5">
        <v>241387</v>
      </c>
      <c r="E3" s="5">
        <v>88044</v>
      </c>
      <c r="F3" s="5">
        <v>75274</v>
      </c>
      <c r="G3" s="5">
        <v>107184</v>
      </c>
      <c r="H3" s="5">
        <v>66938</v>
      </c>
      <c r="I3" s="5">
        <v>115520</v>
      </c>
      <c r="J3" s="5">
        <v>439504</v>
      </c>
      <c r="K3" s="5">
        <v>1170058</v>
      </c>
      <c r="L3" s="5">
        <v>758571</v>
      </c>
      <c r="M3" s="5">
        <v>170100</v>
      </c>
      <c r="N3" s="5">
        <v>82056</v>
      </c>
      <c r="O3" s="5">
        <v>521560</v>
      </c>
    </row>
    <row r="4" spans="1:15" x14ac:dyDescent="0.3">
      <c r="A4" s="4">
        <v>45382</v>
      </c>
      <c r="B4" s="5">
        <v>931932</v>
      </c>
      <c r="C4" s="5">
        <v>567044</v>
      </c>
      <c r="D4" s="5">
        <v>151016</v>
      </c>
      <c r="E4" s="5">
        <v>101214</v>
      </c>
      <c r="F4" s="5">
        <v>69283</v>
      </c>
      <c r="G4" s="5">
        <v>49857</v>
      </c>
      <c r="H4" s="5">
        <v>31612</v>
      </c>
      <c r="I4" s="5">
        <v>87528</v>
      </c>
      <c r="J4" s="5">
        <v>503735</v>
      </c>
      <c r="K4" s="5">
        <v>654798</v>
      </c>
      <c r="L4" s="5">
        <v>440595</v>
      </c>
      <c r="M4" s="5">
        <v>63187</v>
      </c>
      <c r="N4" s="5">
        <v>-38027</v>
      </c>
      <c r="O4" s="5">
        <v>465708</v>
      </c>
    </row>
    <row r="5" spans="1:15" x14ac:dyDescent="0.3">
      <c r="A5" s="4">
        <v>45412</v>
      </c>
      <c r="B5" s="5">
        <v>1165838</v>
      </c>
      <c r="C5" s="5">
        <v>825762</v>
      </c>
      <c r="D5" s="5">
        <v>205591</v>
      </c>
      <c r="E5" s="5">
        <v>111228</v>
      </c>
      <c r="F5" s="5">
        <v>65076</v>
      </c>
      <c r="G5" s="5">
        <v>63636</v>
      </c>
      <c r="H5" s="5">
        <v>42363</v>
      </c>
      <c r="I5" s="5">
        <v>86349</v>
      </c>
      <c r="J5" s="5">
        <v>417721</v>
      </c>
      <c r="K5" s="5">
        <v>905533</v>
      </c>
      <c r="L5" s="5">
        <v>656308</v>
      </c>
      <c r="M5" s="5">
        <v>43634</v>
      </c>
      <c r="N5" s="5">
        <v>-67594</v>
      </c>
      <c r="O5" s="5">
        <v>350127</v>
      </c>
    </row>
    <row r="6" spans="1:15" x14ac:dyDescent="0.3">
      <c r="A6" s="4">
        <v>45443</v>
      </c>
      <c r="B6" s="5">
        <v>1059178</v>
      </c>
      <c r="C6" s="5">
        <v>784620</v>
      </c>
      <c r="D6" s="5">
        <v>173247</v>
      </c>
      <c r="E6" s="5">
        <v>98984</v>
      </c>
      <c r="F6" s="5">
        <v>55358</v>
      </c>
      <c r="G6" s="5">
        <v>74579</v>
      </c>
      <c r="H6" s="5">
        <v>33005</v>
      </c>
      <c r="I6" s="5">
        <v>96932</v>
      </c>
      <c r="J6" s="5">
        <v>379579</v>
      </c>
      <c r="K6" s="5">
        <v>837745</v>
      </c>
      <c r="L6" s="5">
        <v>652597</v>
      </c>
      <c r="M6" s="5">
        <v>11901</v>
      </c>
      <c r="N6" s="5">
        <v>-87083</v>
      </c>
      <c r="O6" s="5">
        <v>292496</v>
      </c>
    </row>
    <row r="7" spans="1:15" x14ac:dyDescent="0.3">
      <c r="A7" s="4">
        <v>45473</v>
      </c>
      <c r="B7" s="5">
        <v>1444167</v>
      </c>
      <c r="C7" s="5">
        <v>866668</v>
      </c>
      <c r="D7" s="5">
        <v>174300</v>
      </c>
      <c r="E7" s="5">
        <v>90774</v>
      </c>
      <c r="F7" s="5">
        <v>94534</v>
      </c>
      <c r="G7" s="5">
        <v>59134</v>
      </c>
      <c r="H7" s="5">
        <v>41113</v>
      </c>
      <c r="I7" s="5">
        <v>112555</v>
      </c>
      <c r="J7" s="5">
        <v>408891</v>
      </c>
      <c r="K7" s="5">
        <v>1066028</v>
      </c>
      <c r="L7" s="5">
        <v>702212</v>
      </c>
      <c r="M7" s="5">
        <v>189516</v>
      </c>
      <c r="N7" s="5">
        <v>98742</v>
      </c>
      <c r="O7" s="5">
        <v>507633</v>
      </c>
    </row>
    <row r="8" spans="1:15" x14ac:dyDescent="0.3">
      <c r="A8" s="4">
        <v>45504</v>
      </c>
      <c r="B8" s="5">
        <v>910268</v>
      </c>
      <c r="C8" s="5">
        <v>681637</v>
      </c>
      <c r="D8" s="5">
        <v>232798</v>
      </c>
      <c r="E8" s="5">
        <v>52568</v>
      </c>
      <c r="F8" s="5">
        <v>54216</v>
      </c>
      <c r="G8" s="5">
        <v>74149</v>
      </c>
      <c r="H8" s="5">
        <v>32508</v>
      </c>
      <c r="I8" s="5">
        <v>95857</v>
      </c>
      <c r="J8" s="5">
        <v>321557</v>
      </c>
      <c r="K8" s="5">
        <v>693400</v>
      </c>
      <c r="L8" s="5">
        <v>551601</v>
      </c>
      <c r="M8" s="5">
        <v>-90999</v>
      </c>
      <c r="N8" s="5">
        <v>-143567</v>
      </c>
      <c r="O8" s="5">
        <v>177990</v>
      </c>
    </row>
    <row r="9" spans="1:15" x14ac:dyDescent="0.3">
      <c r="A9" s="4">
        <v>45535</v>
      </c>
      <c r="B9" s="5">
        <v>854886</v>
      </c>
      <c r="C9" s="5">
        <v>592113</v>
      </c>
      <c r="D9" s="5">
        <v>159268</v>
      </c>
      <c r="E9" s="5">
        <v>112592</v>
      </c>
      <c r="F9" s="5">
        <v>63758</v>
      </c>
      <c r="G9" s="5">
        <v>52789</v>
      </c>
      <c r="H9" s="5">
        <v>34785</v>
      </c>
      <c r="I9" s="5">
        <v>81762</v>
      </c>
      <c r="J9" s="5">
        <v>260217</v>
      </c>
      <c r="K9" s="5">
        <v>599853</v>
      </c>
      <c r="L9" s="5">
        <v>452970</v>
      </c>
      <c r="M9" s="5">
        <v>-12385</v>
      </c>
      <c r="N9" s="5">
        <v>-124977</v>
      </c>
      <c r="O9" s="5">
        <v>135240</v>
      </c>
    </row>
    <row r="10" spans="1:15" x14ac:dyDescent="0.3">
      <c r="A10" s="4">
        <v>45565</v>
      </c>
      <c r="B10" s="5">
        <v>937337</v>
      </c>
      <c r="C10" s="5">
        <v>648400</v>
      </c>
      <c r="D10" s="5">
        <v>236807</v>
      </c>
      <c r="E10" s="5">
        <v>117563</v>
      </c>
      <c r="F10" s="5">
        <v>57804</v>
      </c>
      <c r="G10" s="5">
        <v>56037</v>
      </c>
      <c r="H10" s="5">
        <v>36904</v>
      </c>
      <c r="I10" s="5">
        <v>76937</v>
      </c>
      <c r="J10" s="5">
        <v>294850</v>
      </c>
      <c r="K10" s="5">
        <v>706118</v>
      </c>
      <c r="L10" s="5">
        <v>500781</v>
      </c>
      <c r="M10" s="5">
        <v>-31470</v>
      </c>
      <c r="N10" s="5">
        <v>-149033</v>
      </c>
      <c r="O10" s="5">
        <v>145817</v>
      </c>
    </row>
    <row r="11" spans="1:15" x14ac:dyDescent="0.3">
      <c r="A11" s="4">
        <v>45596</v>
      </c>
      <c r="B11" s="5">
        <v>1321430</v>
      </c>
      <c r="C11" s="5">
        <v>794258</v>
      </c>
      <c r="D11" s="5">
        <v>162185</v>
      </c>
      <c r="E11" s="5">
        <v>52695</v>
      </c>
      <c r="F11" s="5">
        <v>94480</v>
      </c>
      <c r="G11" s="5">
        <v>89750</v>
      </c>
      <c r="H11" s="5">
        <v>49638</v>
      </c>
      <c r="I11" s="5">
        <v>134592</v>
      </c>
      <c r="J11" s="5">
        <v>221704</v>
      </c>
      <c r="K11" s="5">
        <v>943508</v>
      </c>
      <c r="L11" s="5">
        <v>595704</v>
      </c>
      <c r="M11" s="5">
        <v>185619</v>
      </c>
      <c r="N11" s="5">
        <v>132924</v>
      </c>
      <c r="O11" s="5">
        <v>354628</v>
      </c>
    </row>
    <row r="12" spans="1:15" x14ac:dyDescent="0.3">
      <c r="A12" s="4">
        <v>45626</v>
      </c>
      <c r="B12" s="5">
        <v>887498</v>
      </c>
      <c r="C12" s="5">
        <v>535568</v>
      </c>
      <c r="D12" s="5">
        <v>344776</v>
      </c>
      <c r="E12" s="5">
        <v>98190</v>
      </c>
      <c r="F12" s="5">
        <v>59469</v>
      </c>
      <c r="G12" s="5">
        <v>55179</v>
      </c>
      <c r="H12" s="5">
        <v>24636</v>
      </c>
      <c r="I12" s="5">
        <v>90012</v>
      </c>
      <c r="J12" s="5">
        <v>186209</v>
      </c>
      <c r="K12" s="5">
        <v>649621</v>
      </c>
      <c r="L12" s="5">
        <v>437021</v>
      </c>
      <c r="M12" s="5">
        <v>-132176</v>
      </c>
      <c r="N12" s="5">
        <v>-230366</v>
      </c>
      <c r="O12" s="5">
        <v>-44157</v>
      </c>
    </row>
    <row r="13" spans="1:15" x14ac:dyDescent="0.3">
      <c r="A13" s="4">
        <v>45657</v>
      </c>
      <c r="B13" s="5">
        <v>975203</v>
      </c>
      <c r="C13" s="5">
        <v>661886</v>
      </c>
      <c r="D13" s="5">
        <v>320171</v>
      </c>
      <c r="E13" s="5">
        <v>55258</v>
      </c>
      <c r="F13" s="5">
        <v>59743</v>
      </c>
      <c r="G13" s="5">
        <v>54932</v>
      </c>
      <c r="H13" s="5">
        <v>34049</v>
      </c>
      <c r="I13" s="5">
        <v>80626</v>
      </c>
      <c r="J13" s="5">
        <v>190697</v>
      </c>
      <c r="K13" s="5">
        <v>736229</v>
      </c>
      <c r="L13" s="5">
        <v>525687</v>
      </c>
      <c r="M13" s="5">
        <v>-109629</v>
      </c>
      <c r="N13" s="5">
        <v>-164887</v>
      </c>
      <c r="O13" s="5">
        <v>25810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"/>
  <sheetViews>
    <sheetView workbookViewId="0">
      <selection sqref="A1:O1"/>
    </sheetView>
  </sheetViews>
  <sheetFormatPr defaultRowHeight="14.4" x14ac:dyDescent="0.3"/>
  <cols>
    <col min="1" max="1" width="7.6640625" style="3" bestFit="1" customWidth="1"/>
    <col min="2" max="3" width="8" style="3" bestFit="1" customWidth="1"/>
    <col min="4" max="4" width="18.21875" style="3" bestFit="1" customWidth="1"/>
    <col min="5" max="5" width="7" style="3" bestFit="1" customWidth="1"/>
    <col min="6" max="6" width="19" style="3" bestFit="1" customWidth="1"/>
    <col min="7" max="7" width="9.21875" style="3" bestFit="1" customWidth="1"/>
    <col min="8" max="8" width="16.5546875" style="3" bestFit="1" customWidth="1"/>
    <col min="9" max="9" width="19.109375" style="3" bestFit="1" customWidth="1"/>
    <col min="10" max="10" width="10.6640625" style="3" bestFit="1" customWidth="1"/>
    <col min="11" max="11" width="15.21875" style="3" bestFit="1" customWidth="1"/>
    <col min="12" max="12" width="23.88671875" style="3" bestFit="1" customWidth="1"/>
    <col min="13" max="13" width="20.77734375" style="3" bestFit="1" customWidth="1"/>
    <col min="14" max="14" width="14.5546875" style="3" bestFit="1" customWidth="1"/>
    <col min="15" max="15" width="9.21875" style="3" bestFit="1" customWidth="1"/>
    <col min="16" max="16384" width="8.88671875" style="3"/>
  </cols>
  <sheetData>
    <row r="1" spans="1:1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3">
      <c r="A2" s="4">
        <v>45322</v>
      </c>
      <c r="B2" s="5">
        <v>921958</v>
      </c>
      <c r="C2" s="5">
        <v>572932</v>
      </c>
      <c r="D2" s="5">
        <v>190397</v>
      </c>
      <c r="E2" s="5">
        <v>58571</v>
      </c>
      <c r="F2" s="5">
        <v>55314</v>
      </c>
      <c r="G2" s="5">
        <v>43415</v>
      </c>
      <c r="H2" s="5">
        <v>24062</v>
      </c>
      <c r="I2" s="5">
        <v>74667</v>
      </c>
      <c r="J2" s="5">
        <v>500000</v>
      </c>
      <c r="K2" s="5">
        <v>700700</v>
      </c>
      <c r="L2" s="5">
        <v>476683</v>
      </c>
      <c r="M2" s="5">
        <v>33620</v>
      </c>
      <c r="N2" s="5">
        <v>-24951</v>
      </c>
      <c r="O2" s="5">
        <v>475049</v>
      </c>
    </row>
    <row r="3" spans="1:15" x14ac:dyDescent="0.3">
      <c r="A3" s="4">
        <v>45351</v>
      </c>
      <c r="B3" s="5">
        <v>1471155</v>
      </c>
      <c r="C3" s="5">
        <v>1026326</v>
      </c>
      <c r="D3" s="5">
        <v>241387</v>
      </c>
      <c r="E3" s="5">
        <v>88044</v>
      </c>
      <c r="F3" s="5">
        <v>75274</v>
      </c>
      <c r="G3" s="5">
        <v>107184</v>
      </c>
      <c r="H3" s="5">
        <v>66938</v>
      </c>
      <c r="I3" s="5">
        <v>115520</v>
      </c>
      <c r="J3" s="5">
        <v>439504</v>
      </c>
      <c r="K3" s="5">
        <v>1170058</v>
      </c>
      <c r="L3" s="5">
        <v>758571</v>
      </c>
      <c r="M3" s="5">
        <v>170100</v>
      </c>
      <c r="N3" s="5">
        <v>82056</v>
      </c>
      <c r="O3" s="5">
        <v>521560</v>
      </c>
    </row>
    <row r="4" spans="1:15" x14ac:dyDescent="0.3">
      <c r="A4" s="4">
        <v>45382</v>
      </c>
      <c r="B4" s="5">
        <v>931932</v>
      </c>
      <c r="C4" s="5">
        <v>567044</v>
      </c>
      <c r="D4" s="5">
        <v>151016</v>
      </c>
      <c r="E4" s="5">
        <v>101214</v>
      </c>
      <c r="F4" s="5">
        <v>69283</v>
      </c>
      <c r="G4" s="5">
        <v>49857</v>
      </c>
      <c r="H4" s="5">
        <v>31612</v>
      </c>
      <c r="I4" s="5">
        <v>87528</v>
      </c>
      <c r="J4" s="5">
        <v>503735</v>
      </c>
      <c r="K4" s="5">
        <v>654798</v>
      </c>
      <c r="L4" s="5">
        <v>440595</v>
      </c>
      <c r="M4" s="5">
        <v>63187</v>
      </c>
      <c r="N4" s="5">
        <v>-38027</v>
      </c>
      <c r="O4" s="5">
        <v>465708</v>
      </c>
    </row>
    <row r="5" spans="1:15" x14ac:dyDescent="0.3">
      <c r="A5" s="4">
        <v>45412</v>
      </c>
      <c r="B5" s="5">
        <v>1165838</v>
      </c>
      <c r="C5" s="5">
        <v>825762</v>
      </c>
      <c r="D5" s="5">
        <v>205591</v>
      </c>
      <c r="E5" s="5">
        <v>111228</v>
      </c>
      <c r="F5" s="5">
        <v>65076</v>
      </c>
      <c r="G5" s="5">
        <v>63636</v>
      </c>
      <c r="H5" s="5">
        <v>42363</v>
      </c>
      <c r="I5" s="5">
        <v>86349</v>
      </c>
      <c r="J5" s="5">
        <v>417721</v>
      </c>
      <c r="K5" s="5">
        <v>905533</v>
      </c>
      <c r="L5" s="5">
        <v>656308</v>
      </c>
      <c r="M5" s="5">
        <v>43634</v>
      </c>
      <c r="N5" s="5">
        <v>-67594</v>
      </c>
      <c r="O5" s="5">
        <v>350127</v>
      </c>
    </row>
    <row r="6" spans="1:15" x14ac:dyDescent="0.3">
      <c r="A6" s="4">
        <v>45443</v>
      </c>
      <c r="B6" s="5">
        <v>1059178</v>
      </c>
      <c r="C6" s="5">
        <v>784620</v>
      </c>
      <c r="D6" s="5">
        <v>173247</v>
      </c>
      <c r="E6" s="5">
        <v>98984</v>
      </c>
      <c r="F6" s="5">
        <v>55358</v>
      </c>
      <c r="G6" s="5">
        <v>74579</v>
      </c>
      <c r="H6" s="5">
        <v>33005</v>
      </c>
      <c r="I6" s="5">
        <v>96932</v>
      </c>
      <c r="J6" s="5">
        <v>379579</v>
      </c>
      <c r="K6" s="5">
        <v>837745</v>
      </c>
      <c r="L6" s="5">
        <v>652597</v>
      </c>
      <c r="M6" s="5">
        <v>11901</v>
      </c>
      <c r="N6" s="5">
        <v>-87083</v>
      </c>
      <c r="O6" s="5">
        <v>292496</v>
      </c>
    </row>
    <row r="7" spans="1:15" x14ac:dyDescent="0.3">
      <c r="A7" s="4">
        <v>45473</v>
      </c>
      <c r="B7" s="5">
        <v>1444167</v>
      </c>
      <c r="C7" s="5">
        <v>866668</v>
      </c>
      <c r="D7" s="5">
        <v>174300</v>
      </c>
      <c r="E7" s="5">
        <v>90774</v>
      </c>
      <c r="F7" s="5">
        <v>94534</v>
      </c>
      <c r="G7" s="5">
        <v>59134</v>
      </c>
      <c r="H7" s="5">
        <v>41113</v>
      </c>
      <c r="I7" s="5">
        <v>112555</v>
      </c>
      <c r="J7" s="5">
        <v>408891</v>
      </c>
      <c r="K7" s="5">
        <v>1066028</v>
      </c>
      <c r="L7" s="5">
        <v>702212</v>
      </c>
      <c r="M7" s="5">
        <v>189516</v>
      </c>
      <c r="N7" s="5">
        <v>98742</v>
      </c>
      <c r="O7" s="5">
        <v>507633</v>
      </c>
    </row>
    <row r="8" spans="1:15" x14ac:dyDescent="0.3">
      <c r="A8" s="4">
        <v>45504</v>
      </c>
      <c r="B8" s="5">
        <v>910268</v>
      </c>
      <c r="C8" s="5">
        <v>681637</v>
      </c>
      <c r="D8" s="5">
        <v>232798</v>
      </c>
      <c r="E8" s="5">
        <v>52568</v>
      </c>
      <c r="F8" s="5">
        <v>54216</v>
      </c>
      <c r="G8" s="5">
        <v>74149</v>
      </c>
      <c r="H8" s="5">
        <v>32508</v>
      </c>
      <c r="I8" s="5">
        <v>95857</v>
      </c>
      <c r="J8" s="5">
        <v>321557</v>
      </c>
      <c r="K8" s="5">
        <v>693400</v>
      </c>
      <c r="L8" s="5">
        <v>551601</v>
      </c>
      <c r="M8" s="5">
        <v>-90999</v>
      </c>
      <c r="N8" s="5">
        <v>-143567</v>
      </c>
      <c r="O8" s="5">
        <v>177990</v>
      </c>
    </row>
    <row r="9" spans="1:15" x14ac:dyDescent="0.3">
      <c r="A9" s="4">
        <v>45535</v>
      </c>
      <c r="B9" s="5">
        <v>854886</v>
      </c>
      <c r="C9" s="5">
        <v>592113</v>
      </c>
      <c r="D9" s="5">
        <v>159268</v>
      </c>
      <c r="E9" s="5">
        <v>112592</v>
      </c>
      <c r="F9" s="5">
        <v>63758</v>
      </c>
      <c r="G9" s="5">
        <v>52789</v>
      </c>
      <c r="H9" s="5">
        <v>34785</v>
      </c>
      <c r="I9" s="5">
        <v>81762</v>
      </c>
      <c r="J9" s="5">
        <v>260217</v>
      </c>
      <c r="K9" s="5">
        <v>599853</v>
      </c>
      <c r="L9" s="5">
        <v>452970</v>
      </c>
      <c r="M9" s="5">
        <v>-12385</v>
      </c>
      <c r="N9" s="5">
        <v>-124977</v>
      </c>
      <c r="O9" s="5">
        <v>135240</v>
      </c>
    </row>
    <row r="10" spans="1:15" x14ac:dyDescent="0.3">
      <c r="A10" s="4">
        <v>45565</v>
      </c>
      <c r="B10" s="5">
        <v>937337</v>
      </c>
      <c r="C10" s="5">
        <v>648400</v>
      </c>
      <c r="D10" s="5">
        <v>236807</v>
      </c>
      <c r="E10" s="5">
        <v>117563</v>
      </c>
      <c r="F10" s="5">
        <v>57804</v>
      </c>
      <c r="G10" s="5">
        <v>56037</v>
      </c>
      <c r="H10" s="5">
        <v>36904</v>
      </c>
      <c r="I10" s="5">
        <v>76937</v>
      </c>
      <c r="J10" s="5">
        <v>294850</v>
      </c>
      <c r="K10" s="5">
        <v>706118</v>
      </c>
      <c r="L10" s="5">
        <v>500781</v>
      </c>
      <c r="M10" s="5">
        <v>-31470</v>
      </c>
      <c r="N10" s="5">
        <v>-149033</v>
      </c>
      <c r="O10" s="5">
        <v>145817</v>
      </c>
    </row>
    <row r="11" spans="1:15" x14ac:dyDescent="0.3">
      <c r="A11" s="4">
        <v>45596</v>
      </c>
      <c r="B11" s="5">
        <v>1321430</v>
      </c>
      <c r="C11" s="5">
        <v>794258</v>
      </c>
      <c r="D11" s="5">
        <v>162185</v>
      </c>
      <c r="E11" s="5">
        <v>52695</v>
      </c>
      <c r="F11" s="5">
        <v>94480</v>
      </c>
      <c r="G11" s="5">
        <v>89750</v>
      </c>
      <c r="H11" s="5">
        <v>49638</v>
      </c>
      <c r="I11" s="5">
        <v>134592</v>
      </c>
      <c r="J11" s="5">
        <v>221704</v>
      </c>
      <c r="K11" s="5">
        <v>943508</v>
      </c>
      <c r="L11" s="5">
        <v>595704</v>
      </c>
      <c r="M11" s="5">
        <v>185619</v>
      </c>
      <c r="N11" s="5">
        <v>132924</v>
      </c>
      <c r="O11" s="5">
        <v>354628</v>
      </c>
    </row>
    <row r="12" spans="1:15" x14ac:dyDescent="0.3">
      <c r="A12" s="4">
        <v>45626</v>
      </c>
      <c r="B12" s="5">
        <v>887498</v>
      </c>
      <c r="C12" s="5">
        <v>535568</v>
      </c>
      <c r="D12" s="5">
        <v>344776</v>
      </c>
      <c r="E12" s="5">
        <v>98190</v>
      </c>
      <c r="F12" s="5">
        <v>59469</v>
      </c>
      <c r="G12" s="5">
        <v>55179</v>
      </c>
      <c r="H12" s="5">
        <v>24636</v>
      </c>
      <c r="I12" s="5">
        <v>90012</v>
      </c>
      <c r="J12" s="5">
        <v>186209</v>
      </c>
      <c r="K12" s="5">
        <v>649621</v>
      </c>
      <c r="L12" s="5">
        <v>437021</v>
      </c>
      <c r="M12" s="5">
        <v>-132176</v>
      </c>
      <c r="N12" s="5">
        <v>-230366</v>
      </c>
      <c r="O12" s="5">
        <v>-44157</v>
      </c>
    </row>
    <row r="13" spans="1:15" x14ac:dyDescent="0.3">
      <c r="A13" s="4">
        <v>45657</v>
      </c>
      <c r="B13" s="5">
        <v>975203</v>
      </c>
      <c r="C13" s="5">
        <v>661886</v>
      </c>
      <c r="D13" s="5">
        <v>320171</v>
      </c>
      <c r="E13" s="5">
        <v>55258</v>
      </c>
      <c r="F13" s="5">
        <v>59743</v>
      </c>
      <c r="G13" s="5">
        <v>54932</v>
      </c>
      <c r="H13" s="5">
        <v>34049</v>
      </c>
      <c r="I13" s="5">
        <v>80626</v>
      </c>
      <c r="J13" s="5">
        <v>190697</v>
      </c>
      <c r="K13" s="5">
        <v>736229</v>
      </c>
      <c r="L13" s="5">
        <v>525687</v>
      </c>
      <c r="M13" s="5">
        <v>-109629</v>
      </c>
      <c r="N13" s="5">
        <v>-164887</v>
      </c>
      <c r="O13" s="5">
        <v>25810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"/>
  <sheetViews>
    <sheetView workbookViewId="0">
      <selection sqref="A1:O1"/>
    </sheetView>
  </sheetViews>
  <sheetFormatPr defaultRowHeight="14.4" x14ac:dyDescent="0.3"/>
  <cols>
    <col min="1" max="1" width="7.6640625" style="3" bestFit="1" customWidth="1"/>
    <col min="2" max="3" width="8" style="3" bestFit="1" customWidth="1"/>
    <col min="4" max="4" width="18.21875" style="3" bestFit="1" customWidth="1"/>
    <col min="5" max="5" width="7" style="3" bestFit="1" customWidth="1"/>
    <col min="6" max="6" width="19" style="3" bestFit="1" customWidth="1"/>
    <col min="7" max="7" width="9.21875" style="3" bestFit="1" customWidth="1"/>
    <col min="8" max="8" width="16.5546875" style="3" bestFit="1" customWidth="1"/>
    <col min="9" max="9" width="19.109375" style="3" bestFit="1" customWidth="1"/>
    <col min="10" max="10" width="10.6640625" style="3" bestFit="1" customWidth="1"/>
    <col min="11" max="11" width="15.21875" style="3" bestFit="1" customWidth="1"/>
    <col min="12" max="12" width="23.88671875" style="3" bestFit="1" customWidth="1"/>
    <col min="13" max="13" width="20.77734375" style="3" bestFit="1" customWidth="1"/>
    <col min="14" max="14" width="14.5546875" style="3" bestFit="1" customWidth="1"/>
    <col min="15" max="15" width="9.21875" style="3" bestFit="1" customWidth="1"/>
    <col min="16" max="16384" width="8.88671875" style="3"/>
  </cols>
  <sheetData>
    <row r="1" spans="1:1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3">
      <c r="A2" s="4">
        <v>45322</v>
      </c>
      <c r="B2" s="5">
        <v>921958</v>
      </c>
      <c r="C2" s="5">
        <v>572932</v>
      </c>
      <c r="D2" s="5">
        <v>190397</v>
      </c>
      <c r="E2" s="5">
        <v>58571</v>
      </c>
      <c r="F2" s="5">
        <v>55314</v>
      </c>
      <c r="G2" s="5">
        <v>43415</v>
      </c>
      <c r="H2" s="5">
        <v>24062</v>
      </c>
      <c r="I2" s="5">
        <v>74667</v>
      </c>
      <c r="J2" s="5">
        <v>500000</v>
      </c>
      <c r="K2" s="5">
        <v>700700</v>
      </c>
      <c r="L2" s="5">
        <v>476683</v>
      </c>
      <c r="M2" s="5">
        <v>33620</v>
      </c>
      <c r="N2" s="5">
        <v>-24951</v>
      </c>
      <c r="O2" s="5">
        <v>475049</v>
      </c>
    </row>
    <row r="3" spans="1:15" x14ac:dyDescent="0.3">
      <c r="A3" s="4">
        <v>45351</v>
      </c>
      <c r="B3" s="5">
        <v>1471155</v>
      </c>
      <c r="C3" s="5">
        <v>1026326</v>
      </c>
      <c r="D3" s="5">
        <v>241387</v>
      </c>
      <c r="E3" s="5">
        <v>88044</v>
      </c>
      <c r="F3" s="5">
        <v>75274</v>
      </c>
      <c r="G3" s="5">
        <v>107184</v>
      </c>
      <c r="H3" s="5">
        <v>66938</v>
      </c>
      <c r="I3" s="5">
        <v>115520</v>
      </c>
      <c r="J3" s="5">
        <v>439504</v>
      </c>
      <c r="K3" s="5">
        <v>1170058</v>
      </c>
      <c r="L3" s="5">
        <v>758571</v>
      </c>
      <c r="M3" s="5">
        <v>170100</v>
      </c>
      <c r="N3" s="5">
        <v>82056</v>
      </c>
      <c r="O3" s="5">
        <v>521560</v>
      </c>
    </row>
    <row r="4" spans="1:15" x14ac:dyDescent="0.3">
      <c r="A4" s="4">
        <v>45382</v>
      </c>
      <c r="B4" s="5">
        <v>931932</v>
      </c>
      <c r="C4" s="5">
        <v>567044</v>
      </c>
      <c r="D4" s="5">
        <v>151016</v>
      </c>
      <c r="E4" s="5">
        <v>101214</v>
      </c>
      <c r="F4" s="5">
        <v>69283</v>
      </c>
      <c r="G4" s="5">
        <v>49857</v>
      </c>
      <c r="H4" s="5">
        <v>31612</v>
      </c>
      <c r="I4" s="5">
        <v>87528</v>
      </c>
      <c r="J4" s="5">
        <v>503735</v>
      </c>
      <c r="K4" s="5">
        <v>654798</v>
      </c>
      <c r="L4" s="5">
        <v>440595</v>
      </c>
      <c r="M4" s="5">
        <v>63187</v>
      </c>
      <c r="N4" s="5">
        <v>-38027</v>
      </c>
      <c r="O4" s="5">
        <v>465708</v>
      </c>
    </row>
    <row r="5" spans="1:15" x14ac:dyDescent="0.3">
      <c r="A5" s="4">
        <v>45412</v>
      </c>
      <c r="B5" s="5">
        <v>1165838</v>
      </c>
      <c r="C5" s="5">
        <v>825762</v>
      </c>
      <c r="D5" s="5">
        <v>205591</v>
      </c>
      <c r="E5" s="5">
        <v>111228</v>
      </c>
      <c r="F5" s="5">
        <v>65076</v>
      </c>
      <c r="G5" s="5">
        <v>63636</v>
      </c>
      <c r="H5" s="5">
        <v>42363</v>
      </c>
      <c r="I5" s="5">
        <v>86349</v>
      </c>
      <c r="J5" s="5">
        <v>417721</v>
      </c>
      <c r="K5" s="5">
        <v>905533</v>
      </c>
      <c r="L5" s="5">
        <v>656308</v>
      </c>
      <c r="M5" s="5">
        <v>43634</v>
      </c>
      <c r="N5" s="5">
        <v>-67594</v>
      </c>
      <c r="O5" s="5">
        <v>350127</v>
      </c>
    </row>
    <row r="6" spans="1:15" x14ac:dyDescent="0.3">
      <c r="A6" s="4">
        <v>45443</v>
      </c>
      <c r="B6" s="5">
        <v>1059178</v>
      </c>
      <c r="C6" s="5">
        <v>784620</v>
      </c>
      <c r="D6" s="5">
        <v>173247</v>
      </c>
      <c r="E6" s="5">
        <v>98984</v>
      </c>
      <c r="F6" s="5">
        <v>55358</v>
      </c>
      <c r="G6" s="5">
        <v>74579</v>
      </c>
      <c r="H6" s="5">
        <v>33005</v>
      </c>
      <c r="I6" s="5">
        <v>96932</v>
      </c>
      <c r="J6" s="5">
        <v>379579</v>
      </c>
      <c r="K6" s="5">
        <v>837745</v>
      </c>
      <c r="L6" s="5">
        <v>652597</v>
      </c>
      <c r="M6" s="5">
        <v>11901</v>
      </c>
      <c r="N6" s="5">
        <v>-87083</v>
      </c>
      <c r="O6" s="5">
        <v>292496</v>
      </c>
    </row>
    <row r="7" spans="1:15" x14ac:dyDescent="0.3">
      <c r="A7" s="4">
        <v>45473</v>
      </c>
      <c r="B7" s="5">
        <v>1444167</v>
      </c>
      <c r="C7" s="5">
        <v>866668</v>
      </c>
      <c r="D7" s="5">
        <v>174300</v>
      </c>
      <c r="E7" s="5">
        <v>90774</v>
      </c>
      <c r="F7" s="5">
        <v>94534</v>
      </c>
      <c r="G7" s="5">
        <v>59134</v>
      </c>
      <c r="H7" s="5">
        <v>41113</v>
      </c>
      <c r="I7" s="5">
        <v>112555</v>
      </c>
      <c r="J7" s="5">
        <v>408891</v>
      </c>
      <c r="K7" s="5">
        <v>1066028</v>
      </c>
      <c r="L7" s="5">
        <v>702212</v>
      </c>
      <c r="M7" s="5">
        <v>189516</v>
      </c>
      <c r="N7" s="5">
        <v>98742</v>
      </c>
      <c r="O7" s="5">
        <v>507633</v>
      </c>
    </row>
    <row r="8" spans="1:15" x14ac:dyDescent="0.3">
      <c r="A8" s="4">
        <v>45504</v>
      </c>
      <c r="B8" s="5">
        <v>910268</v>
      </c>
      <c r="C8" s="5">
        <v>681637</v>
      </c>
      <c r="D8" s="5">
        <v>232798</v>
      </c>
      <c r="E8" s="5">
        <v>52568</v>
      </c>
      <c r="F8" s="5">
        <v>54216</v>
      </c>
      <c r="G8" s="5">
        <v>74149</v>
      </c>
      <c r="H8" s="5">
        <v>32508</v>
      </c>
      <c r="I8" s="5">
        <v>95857</v>
      </c>
      <c r="J8" s="5">
        <v>321557</v>
      </c>
      <c r="K8" s="5">
        <v>693400</v>
      </c>
      <c r="L8" s="5">
        <v>551601</v>
      </c>
      <c r="M8" s="5">
        <v>-90999</v>
      </c>
      <c r="N8" s="5">
        <v>-143567</v>
      </c>
      <c r="O8" s="5">
        <v>177990</v>
      </c>
    </row>
    <row r="9" spans="1:15" x14ac:dyDescent="0.3">
      <c r="A9" s="4">
        <v>45535</v>
      </c>
      <c r="B9" s="5">
        <v>854886</v>
      </c>
      <c r="C9" s="5">
        <v>592113</v>
      </c>
      <c r="D9" s="5">
        <v>159268</v>
      </c>
      <c r="E9" s="5">
        <v>112592</v>
      </c>
      <c r="F9" s="5">
        <v>63758</v>
      </c>
      <c r="G9" s="5">
        <v>52789</v>
      </c>
      <c r="H9" s="5">
        <v>34785</v>
      </c>
      <c r="I9" s="5">
        <v>81762</v>
      </c>
      <c r="J9" s="5">
        <v>260217</v>
      </c>
      <c r="K9" s="5">
        <v>599853</v>
      </c>
      <c r="L9" s="5">
        <v>452970</v>
      </c>
      <c r="M9" s="5">
        <v>-12385</v>
      </c>
      <c r="N9" s="5">
        <v>-124977</v>
      </c>
      <c r="O9" s="5">
        <v>135240</v>
      </c>
    </row>
    <row r="10" spans="1:15" x14ac:dyDescent="0.3">
      <c r="A10" s="4">
        <v>45565</v>
      </c>
      <c r="B10" s="5">
        <v>937337</v>
      </c>
      <c r="C10" s="5">
        <v>648400</v>
      </c>
      <c r="D10" s="5">
        <v>236807</v>
      </c>
      <c r="E10" s="5">
        <v>117563</v>
      </c>
      <c r="F10" s="5">
        <v>57804</v>
      </c>
      <c r="G10" s="5">
        <v>56037</v>
      </c>
      <c r="H10" s="5">
        <v>36904</v>
      </c>
      <c r="I10" s="5">
        <v>76937</v>
      </c>
      <c r="J10" s="5">
        <v>294850</v>
      </c>
      <c r="K10" s="5">
        <v>706118</v>
      </c>
      <c r="L10" s="5">
        <v>500781</v>
      </c>
      <c r="M10" s="5">
        <v>-31470</v>
      </c>
      <c r="N10" s="5">
        <v>-149033</v>
      </c>
      <c r="O10" s="5">
        <v>145817</v>
      </c>
    </row>
    <row r="11" spans="1:15" x14ac:dyDescent="0.3">
      <c r="A11" s="4">
        <v>45596</v>
      </c>
      <c r="B11" s="5">
        <v>1321430</v>
      </c>
      <c r="C11" s="5">
        <v>794258</v>
      </c>
      <c r="D11" s="5">
        <v>162185</v>
      </c>
      <c r="E11" s="5">
        <v>52695</v>
      </c>
      <c r="F11" s="5">
        <v>94480</v>
      </c>
      <c r="G11" s="5">
        <v>89750</v>
      </c>
      <c r="H11" s="5">
        <v>49638</v>
      </c>
      <c r="I11" s="5">
        <v>134592</v>
      </c>
      <c r="J11" s="5">
        <v>221704</v>
      </c>
      <c r="K11" s="5">
        <v>943508</v>
      </c>
      <c r="L11" s="5">
        <v>595704</v>
      </c>
      <c r="M11" s="5">
        <v>185619</v>
      </c>
      <c r="N11" s="5">
        <v>132924</v>
      </c>
      <c r="O11" s="5">
        <v>354628</v>
      </c>
    </row>
    <row r="12" spans="1:15" x14ac:dyDescent="0.3">
      <c r="A12" s="4">
        <v>45626</v>
      </c>
      <c r="B12" s="5">
        <v>887498</v>
      </c>
      <c r="C12" s="5">
        <v>535568</v>
      </c>
      <c r="D12" s="5">
        <v>344776</v>
      </c>
      <c r="E12" s="5">
        <v>98190</v>
      </c>
      <c r="F12" s="5">
        <v>59469</v>
      </c>
      <c r="G12" s="5">
        <v>55179</v>
      </c>
      <c r="H12" s="5">
        <v>24636</v>
      </c>
      <c r="I12" s="5">
        <v>90012</v>
      </c>
      <c r="J12" s="5">
        <v>186209</v>
      </c>
      <c r="K12" s="5">
        <v>649621</v>
      </c>
      <c r="L12" s="5">
        <v>437021</v>
      </c>
      <c r="M12" s="5">
        <v>-132176</v>
      </c>
      <c r="N12" s="5">
        <v>-230366</v>
      </c>
      <c r="O12" s="5">
        <v>-44157</v>
      </c>
    </row>
    <row r="13" spans="1:15" x14ac:dyDescent="0.3">
      <c r="A13" s="4">
        <v>45657</v>
      </c>
      <c r="B13" s="5">
        <v>975203</v>
      </c>
      <c r="C13" s="5">
        <v>661886</v>
      </c>
      <c r="D13" s="5">
        <v>320171</v>
      </c>
      <c r="E13" s="5">
        <v>55258</v>
      </c>
      <c r="F13" s="5">
        <v>59743</v>
      </c>
      <c r="G13" s="5">
        <v>54932</v>
      </c>
      <c r="H13" s="5">
        <v>34049</v>
      </c>
      <c r="I13" s="5">
        <v>80626</v>
      </c>
      <c r="J13" s="5">
        <v>190697</v>
      </c>
      <c r="K13" s="5">
        <v>736229</v>
      </c>
      <c r="L13" s="5">
        <v>525687</v>
      </c>
      <c r="M13" s="5">
        <v>-109629</v>
      </c>
      <c r="N13" s="5">
        <v>-164887</v>
      </c>
      <c r="O13" s="5">
        <v>25810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tabSelected="1" workbookViewId="0">
      <selection activeCell="A4" sqref="A4:B7"/>
    </sheetView>
  </sheetViews>
  <sheetFormatPr defaultRowHeight="14.4" x14ac:dyDescent="0.3"/>
  <cols>
    <col min="1" max="1" width="24.6640625" bestFit="1" customWidth="1"/>
    <col min="2" max="2" width="9.88671875" bestFit="1" customWidth="1"/>
  </cols>
  <sheetData>
    <row r="1" spans="1:2" ht="21" x14ac:dyDescent="0.4">
      <c r="A1" s="1" t="s">
        <v>15</v>
      </c>
    </row>
    <row r="3" spans="1:2" ht="15.6" x14ac:dyDescent="0.3">
      <c r="A3" s="2" t="s">
        <v>16</v>
      </c>
    </row>
    <row r="4" spans="1:2" x14ac:dyDescent="0.3">
      <c r="A4" s="7" t="s">
        <v>17</v>
      </c>
      <c r="B4" s="7" t="s">
        <v>18</v>
      </c>
    </row>
    <row r="5" spans="1:2" x14ac:dyDescent="0.3">
      <c r="A5" s="8" t="s">
        <v>19</v>
      </c>
      <c r="B5" s="9">
        <v>12880850</v>
      </c>
    </row>
    <row r="6" spans="1:2" x14ac:dyDescent="0.3">
      <c r="A6" s="8" t="s">
        <v>20</v>
      </c>
      <c r="B6" s="9">
        <v>94444.75</v>
      </c>
    </row>
    <row r="7" spans="1:2" x14ac:dyDescent="0.3">
      <c r="A7" s="8" t="s">
        <v>21</v>
      </c>
      <c r="B7" s="9">
        <v>-716763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Assumptions_Inputs</vt:lpstr>
      <vt:lpstr>Working_Capital</vt:lpstr>
      <vt:lpstr>Cash_Flow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 Dighe</dc:creator>
  <cp:lastModifiedBy>Vinayak Dighe</cp:lastModifiedBy>
  <dcterms:created xsi:type="dcterms:W3CDTF">2025-12-14T16:52:24Z</dcterms:created>
  <dcterms:modified xsi:type="dcterms:W3CDTF">2025-12-14T16:59:38Z</dcterms:modified>
</cp:coreProperties>
</file>